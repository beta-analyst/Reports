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9DC0170D-0FD4-484B-8ED7-A5C23CB58099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Cover" sheetId="1" r:id="rId1"/>
    <sheet name="Assumptions" sheetId="2" r:id="rId2"/>
    <sheet name="Calculations" sheetId="3" r:id="rId3"/>
    <sheet name="Financials" sheetId="4" r:id="rId4"/>
    <sheet name="Dashboard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F12" i="3"/>
  <c r="G12" i="3"/>
  <c r="G13" i="3"/>
  <c r="F13" i="3"/>
  <c r="E13" i="3"/>
  <c r="D13" i="3"/>
  <c r="C13" i="3"/>
  <c r="D12" i="3"/>
  <c r="C12" i="3"/>
  <c r="D9" i="4"/>
  <c r="E9" i="4"/>
  <c r="F9" i="4"/>
  <c r="G9" i="4"/>
  <c r="C9" i="4"/>
  <c r="C7" i="3"/>
  <c r="D7" i="3" s="1"/>
  <c r="C6" i="3"/>
  <c r="E7" i="2"/>
  <c r="F7" i="2"/>
  <c r="G7" i="2"/>
  <c r="D7" i="2"/>
  <c r="A1" i="5"/>
  <c r="A1" i="4"/>
  <c r="A1" i="3"/>
  <c r="A1" i="2"/>
  <c r="B14" i="1"/>
  <c r="B13" i="1"/>
  <c r="B12" i="1"/>
  <c r="B11" i="1"/>
  <c r="E7" i="3" l="1"/>
  <c r="D6" i="3"/>
  <c r="C8" i="3"/>
  <c r="E6" i="3" l="1"/>
  <c r="F6" i="3" s="1"/>
  <c r="G6" i="3" s="1"/>
  <c r="D8" i="3"/>
  <c r="C6" i="4"/>
  <c r="C11" i="3"/>
  <c r="D6" i="4"/>
  <c r="D11" i="3"/>
  <c r="F7" i="3"/>
  <c r="E8" i="3"/>
  <c r="E6" i="4" l="1"/>
  <c r="E11" i="3"/>
  <c r="G7" i="3"/>
  <c r="G8" i="3" s="1"/>
  <c r="F8" i="3"/>
  <c r="D7" i="4"/>
  <c r="D14" i="3"/>
  <c r="D16" i="3" s="1"/>
  <c r="D8" i="4"/>
  <c r="D10" i="4" s="1"/>
  <c r="C7" i="4"/>
  <c r="C14" i="3"/>
  <c r="C16" i="3" s="1"/>
  <c r="C8" i="4"/>
  <c r="C10" i="4" s="1"/>
  <c r="C11" i="4" l="1"/>
  <c r="C12" i="4" s="1"/>
  <c r="D11" i="4"/>
  <c r="D12" i="4"/>
  <c r="F6" i="4"/>
  <c r="F11" i="3"/>
  <c r="G6" i="4"/>
  <c r="C8" i="5" s="1"/>
  <c r="G11" i="3"/>
  <c r="E7" i="4"/>
  <c r="E14" i="3"/>
  <c r="E16" i="3" s="1"/>
  <c r="E8" i="4"/>
  <c r="E10" i="4" s="1"/>
  <c r="E11" i="4" l="1"/>
  <c r="E12" i="4"/>
  <c r="G7" i="4"/>
  <c r="G14" i="3"/>
  <c r="G16" i="3" s="1"/>
  <c r="G8" i="4"/>
  <c r="G10" i="4" s="1"/>
  <c r="F7" i="4"/>
  <c r="F14" i="3"/>
  <c r="F16" i="3" s="1"/>
  <c r="F8" i="4"/>
  <c r="F10" i="4" s="1"/>
  <c r="F11" i="4" l="1"/>
  <c r="F12" i="4"/>
  <c r="G11" i="4"/>
  <c r="G12" i="4"/>
  <c r="C9" i="5" s="1"/>
</calcChain>
</file>

<file path=xl/sharedStrings.xml><?xml version="1.0" encoding="utf-8"?>
<sst xmlns="http://schemas.openxmlformats.org/spreadsheetml/2006/main" count="56" uniqueCount="46">
  <si>
    <t>FINANCIAL MODEL: AGENTIC AI INDUSTRY ANALYSIS</t>
  </si>
  <si>
    <t>Developed by: Alpha Analyst</t>
  </si>
  <si>
    <t>Date: 8 February 2024</t>
  </si>
  <si>
    <t>TABLE OF CONTENTS</t>
  </si>
  <si>
    <t>1. Cover</t>
  </si>
  <si>
    <t>Column1</t>
  </si>
  <si>
    <t>Year 1</t>
  </si>
  <si>
    <t>Year 2</t>
  </si>
  <si>
    <t>Year 3</t>
  </si>
  <si>
    <t>Year 4</t>
  </si>
  <si>
    <t>Year 5</t>
  </si>
  <si>
    <t>Section 1: Market Assumptions</t>
  </si>
  <si>
    <t>Global AI Agent Market ($ Billions)</t>
  </si>
  <si>
    <t>Annual Market Growth (%)</t>
  </si>
  <si>
    <t>Section 2: Revenue Drivers</t>
  </si>
  <si>
    <t>Avg. Monthly Subscription (per Agent)</t>
  </si>
  <si>
    <t>Number of Agents (Initial)</t>
  </si>
  <si>
    <t>Section 3: Operating Costs</t>
  </si>
  <si>
    <t>API/Compute Cost (% of Revenue)</t>
  </si>
  <si>
    <t>Annual Salary per AI Engineer ($)</t>
  </si>
  <si>
    <t>Number of Engineers (Year 1)</t>
  </si>
  <si>
    <t>Annual Headcount Growth (Nos.)</t>
  </si>
  <si>
    <t xml:space="preserve">Year 4 </t>
  </si>
  <si>
    <t>Revenue Calculation</t>
  </si>
  <si>
    <t>Number of Agents</t>
  </si>
  <si>
    <t>Monthly Revenue per Agent</t>
  </si>
  <si>
    <t>Total Annual Revenue</t>
  </si>
  <si>
    <t>API &amp; Compute Costs</t>
  </si>
  <si>
    <t>Number of Engineers</t>
  </si>
  <si>
    <t>Engineering Salaries</t>
  </si>
  <si>
    <t>Total Operating Costs</t>
  </si>
  <si>
    <t>EBITDA</t>
  </si>
  <si>
    <t>PROJECTED INCOME STATEMENT (AGENTIC AI)</t>
  </si>
  <si>
    <t>Revenue</t>
  </si>
  <si>
    <t>Cost of Goods Sold (COGS)</t>
  </si>
  <si>
    <t>Gross Profit</t>
  </si>
  <si>
    <t>Operating Expenses (OpEx)</t>
  </si>
  <si>
    <t>Taxes</t>
  </si>
  <si>
    <t>Net Income</t>
  </si>
  <si>
    <t>MODEL SENSITIVITY &amp; INTERACTIVITY</t>
  </si>
  <si>
    <r>
      <rPr>
        <sz val="11"/>
        <color rgb="FF4472C4"/>
        <rFont val="Calibri"/>
        <scheme val="minor"/>
      </rPr>
      <t>Blue Text</t>
    </r>
    <r>
      <rPr>
        <sz val="11"/>
        <color rgb="FF000000"/>
        <rFont val="Calibri"/>
        <scheme val="minor"/>
      </rPr>
      <t xml:space="preserve"> =</t>
    </r>
    <r>
      <rPr>
        <b/>
        <sz val="11"/>
        <color rgb="FF000000"/>
        <rFont val="Calibri"/>
        <scheme val="minor"/>
      </rPr>
      <t xml:space="preserve"> User Inputs (You can change these)</t>
    </r>
  </si>
  <si>
    <t>Go to the 'Assumptions' sheet and change the input (blue numbers) to see live updates here!</t>
  </si>
  <si>
    <r>
      <rPr>
        <sz val="11"/>
        <color rgb="FF000000"/>
        <rFont val="Calibri"/>
        <scheme val="minor"/>
      </rPr>
      <t xml:space="preserve">Black Text = </t>
    </r>
    <r>
      <rPr>
        <b/>
        <sz val="11"/>
        <color rgb="FF000000"/>
        <rFont val="Calibri"/>
        <scheme val="minor"/>
      </rPr>
      <t>Calculations/Formulas (Locked)</t>
    </r>
  </si>
  <si>
    <r>
      <rPr>
        <u/>
        <sz val="11"/>
        <color rgb="FF4472C4"/>
        <rFont val="Calibri"/>
        <scheme val="minor"/>
      </rPr>
      <t>Blue Underline</t>
    </r>
    <r>
      <rPr>
        <sz val="11"/>
        <color rgb="FF000000"/>
        <rFont val="Calibri"/>
        <scheme val="minor"/>
      </rPr>
      <t xml:space="preserve"> = </t>
    </r>
    <r>
      <rPr>
        <b/>
        <sz val="11"/>
        <color rgb="FF000000"/>
        <rFont val="Calibri"/>
        <scheme val="minor"/>
      </rPr>
      <t>Navigation Links</t>
    </r>
  </si>
  <si>
    <t>Year 5 Revenue</t>
  </si>
  <si>
    <t>Year 5 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</si>
</sst>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[$$-409]#,##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scheme val="minor"/>
    </font>
    <font>
      <b/>
      <sz val="20"/>
      <color rgb="FF000000"/>
      <name val="Calibri"/>
      <scheme val="minor"/>
    </font>
    <font>
      <sz val="14"/>
      <color rgb="FF000000"/>
      <name val="Calibri"/>
      <scheme val="minor"/>
    </font>
    <font>
      <b/>
      <sz val="14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b/>
      <u/>
      <sz val="11"/>
      <color rgb="FF000000"/>
      <name val="Calibri"/>
      <scheme val="minor"/>
    </font>
    <font>
      <b/>
      <u val="double"/>
      <sz val="11"/>
      <color rgb="FF000000"/>
      <name val="Calibri"/>
      <scheme val="minor"/>
    </font>
    <font>
      <sz val="11"/>
      <color theme="0"/>
      <name val="Calibri"/>
      <family val="2"/>
      <scheme val="minor"/>
    </font>
    <font>
      <sz val="11"/>
      <color rgb="FF4472C4"/>
      <name val="Calibri"/>
      <scheme val="minor"/>
    </font>
    <font>
      <sz val="11"/>
      <color rgb="FF000000"/>
      <name val="Calibri"/>
      <scheme val="minor"/>
    </font>
    <font>
      <u/>
      <sz val="11"/>
      <color rgb="FF4472C4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2" fillId="0" borderId="0" xfId="1"/>
    <xf numFmtId="0" fontId="2" fillId="0" borderId="0" xfId="1" applyFill="1"/>
    <xf numFmtId="0" fontId="6" fillId="0" borderId="0" xfId="0" applyFont="1" applyAlignment="1">
      <alignment wrapText="1"/>
    </xf>
    <xf numFmtId="0" fontId="6" fillId="2" borderId="0" xfId="0" applyFont="1" applyFill="1"/>
    <xf numFmtId="0" fontId="6" fillId="2" borderId="0" xfId="0" applyFont="1" applyFill="1" applyAlignment="1">
      <alignment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9" fontId="0" fillId="0" borderId="0" xfId="0" applyNumberFormat="1"/>
    <xf numFmtId="9" fontId="8" fillId="0" borderId="0" xfId="0" applyNumberFormat="1" applyFont="1"/>
    <xf numFmtId="164" fontId="8" fillId="0" borderId="0" xfId="0" applyNumberFormat="1" applyFont="1"/>
    <xf numFmtId="164" fontId="0" fillId="0" borderId="0" xfId="0" applyNumberFormat="1"/>
    <xf numFmtId="0" fontId="9" fillId="0" borderId="1" xfId="0" applyFont="1" applyBorder="1"/>
    <xf numFmtId="0" fontId="3" fillId="0" borderId="1" xfId="0" applyFont="1" applyBorder="1"/>
    <xf numFmtId="0" fontId="7" fillId="0" borderId="2" xfId="0" applyFont="1" applyBorder="1"/>
    <xf numFmtId="164" fontId="7" fillId="0" borderId="2" xfId="0" applyNumberFormat="1" applyFont="1" applyBorder="1"/>
    <xf numFmtId="0" fontId="0" fillId="0" borderId="0" xfId="0" applyAlignment="1">
      <alignment wrapText="1"/>
    </xf>
    <xf numFmtId="0" fontId="10" fillId="0" borderId="0" xfId="0" applyFont="1"/>
    <xf numFmtId="0" fontId="11" fillId="0" borderId="0" xfId="0" applyFont="1"/>
    <xf numFmtId="1" fontId="0" fillId="0" borderId="0" xfId="0" applyNumberFormat="1"/>
    <xf numFmtId="165" fontId="0" fillId="0" borderId="0" xfId="0" applyNumberFormat="1"/>
    <xf numFmtId="0" fontId="0" fillId="0" borderId="5" xfId="0" applyBorder="1"/>
    <xf numFmtId="0" fontId="0" fillId="0" borderId="8" xfId="0" applyBorder="1"/>
    <xf numFmtId="0" fontId="7" fillId="0" borderId="3" xfId="0" applyFont="1" applyBorder="1"/>
    <xf numFmtId="0" fontId="7" fillId="0" borderId="4" xfId="0" applyFont="1" applyBorder="1"/>
    <xf numFmtId="0" fontId="7" fillId="0" borderId="6" xfId="0" applyFont="1" applyBorder="1"/>
    <xf numFmtId="0" fontId="7" fillId="0" borderId="7" xfId="0" applyFont="1" applyBorder="1"/>
    <xf numFmtId="0" fontId="4" fillId="0" borderId="0" xfId="0" applyFont="1"/>
    <xf numFmtId="0" fontId="12" fillId="3" borderId="0" xfId="0" applyFont="1" applyFill="1" applyAlignment="1">
      <alignment horizontal="center" wrapText="1"/>
    </xf>
    <xf numFmtId="0" fontId="14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1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vs Profit Growth (5-Year Projection)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{"Revenue"}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Financials!$C$6:$G$6</c:f>
              <c:numCache>
                <c:formatCode>[$$-409]#,##0</c:formatCode>
                <c:ptCount val="5"/>
                <c:pt idx="0">
                  <c:v>30000000</c:v>
                </c:pt>
                <c:pt idx="1">
                  <c:v>37500000</c:v>
                </c:pt>
                <c:pt idx="2">
                  <c:v>46875000</c:v>
                </c:pt>
                <c:pt idx="3">
                  <c:v>58593750</c:v>
                </c:pt>
                <c:pt idx="4">
                  <c:v>73242187.5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5-488D-A934-B4D73D3CB8EB}"/>
            </c:ext>
          </c:extLst>
        </c:ser>
        <c:ser>
          <c:idx val="1"/>
          <c:order val="1"/>
          <c:tx>
            <c:strRef>
              <c:f>{"Net Income"}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val>
            <c:numRef>
              <c:f>Financials!$C$12:$G$12</c:f>
              <c:numCache>
                <c:formatCode>[$$-409]#,##0</c:formatCode>
                <c:ptCount val="5"/>
                <c:pt idx="0">
                  <c:v>7875000</c:v>
                </c:pt>
                <c:pt idx="1">
                  <c:v>9900000</c:v>
                </c:pt>
                <c:pt idx="2">
                  <c:v>12487500</c:v>
                </c:pt>
                <c:pt idx="3">
                  <c:v>15778125</c:v>
                </c:pt>
                <c:pt idx="4">
                  <c:v>19947656.25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E5-488D-A934-B4D73D3CB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5886599"/>
        <c:axId val="1035888647"/>
      </c:barChart>
      <c:catAx>
        <c:axId val="10358865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888647"/>
        <c:crosses val="autoZero"/>
        <c:auto val="1"/>
        <c:lblAlgn val="ctr"/>
        <c:lblOffset val="100"/>
        <c:noMultiLvlLbl val="0"/>
      </c:catAx>
      <c:valAx>
        <c:axId val="1035888647"/>
        <c:scaling>
          <c:orientation val="minMax"/>
        </c:scaling>
        <c:delete val="0"/>
        <c:axPos val="l"/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886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1047750</xdr:colOff>
      <xdr:row>9</xdr:row>
      <xdr:rowOff>66675</xdr:rowOff>
    </xdr:from>
    <xdr:to>
      <xdr:col>2</xdr:col>
      <xdr:colOff>219075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8C1AE6-3CA4-429C-50DC-ECBD86D0A7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67A6A8-5830-419A-8195-8E87F00A0EAE}" name="Table1" displayName="Table1" ref="B4:C19" totalsRowShown="0">
  <autoFilter ref="B4:C19" xr:uid="{6367A6A8-5830-419A-8195-8E87F00A0EAE}"/>
  <tableColumns count="2">
    <tableColumn id="1" xr3:uid="{BB02368F-FD7A-45B2-BE74-9BC5C95DAB94}" name="Column1"/>
    <tableColumn id="2" xr3:uid="{D86CE3A4-D367-452A-9BA0-1FCF511D4AC0}" name="Year 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4"/>
  <sheetViews>
    <sheetView showGridLines="0" workbookViewId="0">
      <selection activeCell="B14" sqref="B14"/>
    </sheetView>
  </sheetViews>
  <sheetFormatPr defaultRowHeight="15"/>
  <cols>
    <col min="2" max="2" width="89.85546875" customWidth="1"/>
  </cols>
  <sheetData>
    <row r="2" spans="2:2" ht="26.25">
      <c r="B2" s="2" t="s">
        <v>0</v>
      </c>
    </row>
    <row r="4" spans="2:2">
      <c r="B4" t="s">
        <v>1</v>
      </c>
    </row>
    <row r="5" spans="2:2">
      <c r="B5" t="s">
        <v>2</v>
      </c>
    </row>
    <row r="8" spans="2:2" ht="18.75">
      <c r="B8" s="3" t="s">
        <v>3</v>
      </c>
    </row>
    <row r="10" spans="2:2">
      <c r="B10" t="s">
        <v>4</v>
      </c>
    </row>
    <row r="11" spans="2:2">
      <c r="B11" s="5" t="str">
        <f>HYPERLINK("#Assumptions!A1", "2. Assumptions")</f>
        <v>2. Assumptions</v>
      </c>
    </row>
    <row r="12" spans="2:2">
      <c r="B12" s="4" t="str">
        <f>HYPERLINK("#Calculations!A1","3. Calculations")</f>
        <v>3. Calculations</v>
      </c>
    </row>
    <row r="13" spans="2:2">
      <c r="B13" s="4" t="str">
        <f>HYPERLINK("#Financials!A1","4. Financials")</f>
        <v>4. Financials</v>
      </c>
    </row>
    <row r="14" spans="2:2">
      <c r="B14" s="4" t="str">
        <f>HYPERLINK("#Dashboard!A1","5. Dashboard")</f>
        <v>5. Dashboard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F1F07-4D6F-4387-9755-49ECF5FA04A8}">
  <dimension ref="A1:G19"/>
  <sheetViews>
    <sheetView showGridLines="0" workbookViewId="0">
      <selection activeCell="C12" sqref="C12"/>
    </sheetView>
  </sheetViews>
  <sheetFormatPr defaultRowHeight="15"/>
  <cols>
    <col min="2" max="2" width="36.28515625" bestFit="1" customWidth="1"/>
    <col min="3" max="3" width="11.7109375" bestFit="1" customWidth="1"/>
  </cols>
  <sheetData>
    <row r="1" spans="1:7">
      <c r="A1" s="4" t="str">
        <f>HYPERLINK("#Cover!A1", "&lt;&lt; Back to Cover")</f>
        <v>&lt;&lt; Back to Cover</v>
      </c>
    </row>
    <row r="4" spans="1:7">
      <c r="B4" t="s">
        <v>5</v>
      </c>
      <c r="C4" s="10" t="s">
        <v>6</v>
      </c>
      <c r="D4" s="10" t="s">
        <v>7</v>
      </c>
      <c r="E4" s="10" t="s">
        <v>8</v>
      </c>
      <c r="F4" s="10" t="s">
        <v>9</v>
      </c>
      <c r="G4" s="10" t="s">
        <v>10</v>
      </c>
    </row>
    <row r="5" spans="1:7" ht="18.75">
      <c r="B5" s="7" t="s">
        <v>11</v>
      </c>
      <c r="C5" s="10"/>
      <c r="D5" s="10"/>
      <c r="E5" s="10"/>
      <c r="F5" s="10"/>
      <c r="G5" s="10"/>
    </row>
    <row r="6" spans="1:7">
      <c r="B6" t="s">
        <v>12</v>
      </c>
      <c r="C6" s="14">
        <v>500</v>
      </c>
    </row>
    <row r="7" spans="1:7">
      <c r="B7" t="s">
        <v>13</v>
      </c>
      <c r="C7" s="13">
        <v>0.25</v>
      </c>
      <c r="D7" s="12">
        <f>C7</f>
        <v>0.25</v>
      </c>
      <c r="E7" s="12">
        <f t="shared" ref="E7:G7" si="0">D7</f>
        <v>0.25</v>
      </c>
      <c r="F7" s="12">
        <f t="shared" si="0"/>
        <v>0.25</v>
      </c>
      <c r="G7" s="12">
        <f t="shared" si="0"/>
        <v>0.25</v>
      </c>
    </row>
    <row r="10" spans="1:7" ht="18.75">
      <c r="B10" s="8" t="s">
        <v>14</v>
      </c>
    </row>
    <row r="11" spans="1:7">
      <c r="B11" t="s">
        <v>15</v>
      </c>
      <c r="C11" s="14">
        <v>500</v>
      </c>
    </row>
    <row r="12" spans="1:7">
      <c r="B12" t="s">
        <v>16</v>
      </c>
      <c r="C12" s="14">
        <v>5000</v>
      </c>
    </row>
    <row r="15" spans="1:7" ht="18.75">
      <c r="B15" s="7" t="s">
        <v>17</v>
      </c>
    </row>
    <row r="16" spans="1:7">
      <c r="B16" t="s">
        <v>18</v>
      </c>
      <c r="C16" s="13">
        <v>0.6</v>
      </c>
    </row>
    <row r="17" spans="2:3">
      <c r="B17" t="s">
        <v>19</v>
      </c>
      <c r="C17" s="14">
        <v>150000</v>
      </c>
    </row>
    <row r="18" spans="2:3">
      <c r="B18" s="1" t="s">
        <v>20</v>
      </c>
      <c r="C18" s="11">
        <v>10</v>
      </c>
    </row>
    <row r="19" spans="2:3">
      <c r="B19" t="s">
        <v>21</v>
      </c>
      <c r="C19" s="11">
        <v>2</v>
      </c>
    </row>
  </sheetData>
  <sheetProtection sheet="1" objects="1" scenarios="1"/>
  <protectedRanges>
    <protectedRange sqref="C6 C7 C11 C12 C16 C17 C18 C19" name="Range1"/>
  </protectedRange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DCEFA-B350-4273-B753-0E0CE447A18E}">
  <dimension ref="A1:BC29"/>
  <sheetViews>
    <sheetView workbookViewId="0">
      <selection activeCell="H12" sqref="H12"/>
    </sheetView>
  </sheetViews>
  <sheetFormatPr defaultRowHeight="15"/>
  <cols>
    <col min="2" max="2" width="25.42578125" bestFit="1" customWidth="1"/>
    <col min="3" max="3" width="21.140625" bestFit="1" customWidth="1"/>
    <col min="4" max="7" width="14.42578125" bestFit="1" customWidth="1"/>
    <col min="54" max="54" width="16.28515625" bestFit="1" customWidth="1"/>
    <col min="55" max="55" width="36.5703125" bestFit="1" customWidth="1"/>
  </cols>
  <sheetData>
    <row r="1" spans="1:7">
      <c r="A1" s="4" t="str">
        <f>HYPERLINK("#Cover!A1", "&lt;&lt; Back to Cover")</f>
        <v>&lt;&lt; Back to Cover</v>
      </c>
    </row>
    <row r="3" spans="1:7">
      <c r="C3" s="10" t="s">
        <v>6</v>
      </c>
      <c r="D3" s="10" t="s">
        <v>7</v>
      </c>
      <c r="E3" s="10" t="s">
        <v>8</v>
      </c>
      <c r="F3" s="10" t="s">
        <v>22</v>
      </c>
      <c r="G3" s="10" t="s">
        <v>10</v>
      </c>
    </row>
    <row r="4" spans="1:7" ht="18.75">
      <c r="B4" s="7" t="s">
        <v>23</v>
      </c>
    </row>
    <row r="6" spans="1:7">
      <c r="B6" t="s">
        <v>24</v>
      </c>
      <c r="C6" s="15">
        <f>Assumptions!C12</f>
        <v>5000</v>
      </c>
      <c r="D6" s="15">
        <f>C6 * (1 + Assumptions!D7)</f>
        <v>6250</v>
      </c>
      <c r="E6" s="15">
        <f>D6 * (1 + Assumptions!E7)</f>
        <v>7812.5</v>
      </c>
      <c r="F6" s="15">
        <f>E6 * (1 + Assumptions!F7)</f>
        <v>9765.625</v>
      </c>
      <c r="G6" s="15">
        <f>F6 * (1 + Assumptions!G7)</f>
        <v>12207.03125</v>
      </c>
    </row>
    <row r="7" spans="1:7">
      <c r="B7" t="s">
        <v>25</v>
      </c>
      <c r="C7" s="15">
        <f>Assumptions!C11</f>
        <v>500</v>
      </c>
      <c r="D7" s="15">
        <f>C7</f>
        <v>500</v>
      </c>
      <c r="E7" s="15">
        <f t="shared" ref="E7:G7" si="0">D7</f>
        <v>500</v>
      </c>
      <c r="F7" s="15">
        <f t="shared" si="0"/>
        <v>500</v>
      </c>
      <c r="G7" s="15">
        <f t="shared" si="0"/>
        <v>500</v>
      </c>
    </row>
    <row r="8" spans="1:7">
      <c r="B8" s="16" t="s">
        <v>26</v>
      </c>
      <c r="C8" s="15">
        <f>C6*C7*12</f>
        <v>30000000</v>
      </c>
      <c r="D8" s="15">
        <f>D6*D7*12</f>
        <v>37500000</v>
      </c>
      <c r="E8" s="15">
        <f t="shared" ref="E8:G8" si="1">E6*E7*12</f>
        <v>46875000</v>
      </c>
      <c r="F8" s="15">
        <f t="shared" si="1"/>
        <v>58593750</v>
      </c>
      <c r="G8" s="15">
        <f t="shared" si="1"/>
        <v>73242187.5</v>
      </c>
    </row>
    <row r="11" spans="1:7">
      <c r="B11" t="s">
        <v>27</v>
      </c>
      <c r="C11" s="15">
        <f>C8 * Assumptions!$C$16</f>
        <v>18000000</v>
      </c>
      <c r="D11" s="15">
        <f>D8 * Assumptions!$C$16</f>
        <v>22500000</v>
      </c>
      <c r="E11" s="15">
        <f>E8 * Assumptions!$C$16</f>
        <v>28125000</v>
      </c>
      <c r="F11" s="15">
        <f>F8 * Assumptions!$C$16</f>
        <v>35156250</v>
      </c>
      <c r="G11" s="15">
        <f>G8 * Assumptions!$C$16</f>
        <v>43945312.5</v>
      </c>
    </row>
    <row r="12" spans="1:7">
      <c r="B12" s="1" t="s">
        <v>28</v>
      </c>
      <c r="C12" s="23">
        <f>Assumptions!$C$18</f>
        <v>10</v>
      </c>
      <c r="D12" s="23">
        <f>C12 + Assumptions!$C$19</f>
        <v>12</v>
      </c>
      <c r="E12" s="23">
        <f>D12 + Assumptions!$C$19</f>
        <v>14</v>
      </c>
      <c r="F12" s="23">
        <f>E12 + Assumptions!$C$19</f>
        <v>16</v>
      </c>
      <c r="G12" s="23">
        <f>F12 + Assumptions!$C$19</f>
        <v>18</v>
      </c>
    </row>
    <row r="13" spans="1:7">
      <c r="B13" t="s">
        <v>29</v>
      </c>
      <c r="C13" s="15">
        <f>C12 * Assumptions!$C$17</f>
        <v>1500000</v>
      </c>
      <c r="D13" s="15">
        <f>D12 * Assumptions!$C$17</f>
        <v>1800000</v>
      </c>
      <c r="E13" s="15">
        <f>E12 * Assumptions!$C$17</f>
        <v>2100000</v>
      </c>
      <c r="F13" s="15">
        <f>F12 * Assumptions!$C$17</f>
        <v>2400000</v>
      </c>
      <c r="G13" s="15">
        <f>G12 * Assumptions!$C$17</f>
        <v>2700000</v>
      </c>
    </row>
    <row r="14" spans="1:7">
      <c r="B14" s="17" t="s">
        <v>30</v>
      </c>
      <c r="C14" s="15">
        <f>C11 + C13</f>
        <v>19500000</v>
      </c>
      <c r="D14" s="15">
        <f t="shared" ref="D14:G14" si="2">D11 + D13</f>
        <v>24300000</v>
      </c>
      <c r="E14" s="15">
        <f t="shared" si="2"/>
        <v>30225000</v>
      </c>
      <c r="F14" s="15">
        <f t="shared" si="2"/>
        <v>37556250</v>
      </c>
      <c r="G14" s="15">
        <f t="shared" si="2"/>
        <v>46645312.5</v>
      </c>
    </row>
    <row r="16" spans="1:7" s="18" customFormat="1">
      <c r="B16" s="18" t="s">
        <v>31</v>
      </c>
      <c r="C16" s="19">
        <f>C8 - C14</f>
        <v>10500000</v>
      </c>
      <c r="D16" s="19">
        <f t="shared" ref="D16:G16" si="3">D8 - D14</f>
        <v>13200000</v>
      </c>
      <c r="E16" s="19">
        <f t="shared" si="3"/>
        <v>16650000</v>
      </c>
      <c r="F16" s="19">
        <f t="shared" si="3"/>
        <v>21037500</v>
      </c>
      <c r="G16" s="19">
        <f t="shared" si="3"/>
        <v>26596875</v>
      </c>
    </row>
    <row r="28" spans="55:55">
      <c r="BC28" s="20"/>
    </row>
    <row r="29" spans="55:55">
      <c r="BC29" s="20"/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3157D-1208-4B94-AA00-4CB8E9DB133A}">
  <dimension ref="A1:G12"/>
  <sheetViews>
    <sheetView showGridLines="0" workbookViewId="0"/>
  </sheetViews>
  <sheetFormatPr defaultRowHeight="15"/>
  <cols>
    <col min="2" max="2" width="57.28515625" customWidth="1"/>
    <col min="3" max="7" width="15.42578125" bestFit="1" customWidth="1"/>
  </cols>
  <sheetData>
    <row r="1" spans="1:7">
      <c r="A1" s="4" t="str">
        <f>HYPERLINK("#Cover!A1", "&lt;&lt; Back to Cover")</f>
        <v>&lt;&lt; Back to Cover</v>
      </c>
    </row>
    <row r="4" spans="1:7" ht="18.75">
      <c r="B4" s="6" t="s">
        <v>32</v>
      </c>
      <c r="C4" s="10" t="s">
        <v>6</v>
      </c>
      <c r="D4" s="10" t="s">
        <v>7</v>
      </c>
      <c r="E4" s="10" t="s">
        <v>8</v>
      </c>
      <c r="F4" s="10" t="s">
        <v>22</v>
      </c>
      <c r="G4" s="10" t="s">
        <v>10</v>
      </c>
    </row>
    <row r="6" spans="1:7">
      <c r="B6" s="9" t="s">
        <v>33</v>
      </c>
      <c r="C6" s="24">
        <f>Calculations!C8</f>
        <v>30000000</v>
      </c>
      <c r="D6" s="24">
        <f>Calculations!D8</f>
        <v>37500000</v>
      </c>
      <c r="E6" s="24">
        <f>Calculations!E8</f>
        <v>46875000</v>
      </c>
      <c r="F6" s="24">
        <f>Calculations!F8</f>
        <v>58593750</v>
      </c>
      <c r="G6" s="24">
        <f>Calculations!G8</f>
        <v>73242187.5</v>
      </c>
    </row>
    <row r="7" spans="1:7">
      <c r="B7" t="s">
        <v>34</v>
      </c>
      <c r="C7" s="24">
        <f>Calculations!C11</f>
        <v>18000000</v>
      </c>
      <c r="D7" s="24">
        <f>Calculations!D11</f>
        <v>22500000</v>
      </c>
      <c r="E7" s="24">
        <f>Calculations!E11</f>
        <v>28125000</v>
      </c>
      <c r="F7" s="24">
        <f>Calculations!F11</f>
        <v>35156250</v>
      </c>
      <c r="G7" s="24">
        <f>Calculations!G11</f>
        <v>43945312.5</v>
      </c>
    </row>
    <row r="8" spans="1:7">
      <c r="B8" s="21" t="s">
        <v>35</v>
      </c>
      <c r="C8" s="24">
        <f>C6 - C7</f>
        <v>12000000</v>
      </c>
      <c r="D8" s="24">
        <f t="shared" ref="D8:G8" si="0">D6 - D7</f>
        <v>15000000</v>
      </c>
      <c r="E8" s="24">
        <f t="shared" si="0"/>
        <v>18750000</v>
      </c>
      <c r="F8" s="24">
        <f t="shared" si="0"/>
        <v>23437500</v>
      </c>
      <c r="G8" s="24">
        <f t="shared" si="0"/>
        <v>29296875</v>
      </c>
    </row>
    <row r="9" spans="1:7">
      <c r="B9" t="s">
        <v>36</v>
      </c>
      <c r="C9" s="24">
        <f>Calculations!C13</f>
        <v>1500000</v>
      </c>
      <c r="D9" s="24">
        <f>Calculations!D13</f>
        <v>1800000</v>
      </c>
      <c r="E9" s="24">
        <f>Calculations!E13</f>
        <v>2100000</v>
      </c>
      <c r="F9" s="24">
        <f>Calculations!F13</f>
        <v>2400000</v>
      </c>
      <c r="G9" s="24">
        <f>Calculations!G13</f>
        <v>2700000</v>
      </c>
    </row>
    <row r="10" spans="1:7">
      <c r="B10" s="21" t="s">
        <v>31</v>
      </c>
      <c r="C10" s="24">
        <f>C8 - C9</f>
        <v>10500000</v>
      </c>
      <c r="D10" s="24">
        <f t="shared" ref="D10:G10" si="1">D8 - D9</f>
        <v>13200000</v>
      </c>
      <c r="E10" s="24">
        <f t="shared" si="1"/>
        <v>16650000</v>
      </c>
      <c r="F10" s="24">
        <f t="shared" si="1"/>
        <v>21037500</v>
      </c>
      <c r="G10" s="24">
        <f t="shared" si="1"/>
        <v>26596875</v>
      </c>
    </row>
    <row r="11" spans="1:7">
      <c r="B11" t="s">
        <v>37</v>
      </c>
      <c r="C11" s="24">
        <f>C10 * 25%</f>
        <v>2625000</v>
      </c>
      <c r="D11" s="24">
        <f t="shared" ref="D11:G11" si="2">D10 * 25%</f>
        <v>3300000</v>
      </c>
      <c r="E11" s="24">
        <f t="shared" si="2"/>
        <v>4162500</v>
      </c>
      <c r="F11" s="24">
        <f t="shared" si="2"/>
        <v>5259375</v>
      </c>
      <c r="G11" s="24">
        <f t="shared" si="2"/>
        <v>6649218.75</v>
      </c>
    </row>
    <row r="12" spans="1:7">
      <c r="B12" s="22" t="s">
        <v>38</v>
      </c>
      <c r="C12" s="24">
        <f>C10 - C11</f>
        <v>7875000</v>
      </c>
      <c r="D12" s="24">
        <f t="shared" ref="D12:G12" si="3">D10 - D11</f>
        <v>9900000</v>
      </c>
      <c r="E12" s="24">
        <f t="shared" si="3"/>
        <v>12487500</v>
      </c>
      <c r="F12" s="24">
        <f t="shared" si="3"/>
        <v>15778125</v>
      </c>
      <c r="G12" s="24">
        <f t="shared" si="3"/>
        <v>19947656.25</v>
      </c>
    </row>
  </sheetData>
  <sheetProtection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BA2BE-6E20-4C31-BD64-D4E3406E9030}">
  <dimension ref="A1:F9"/>
  <sheetViews>
    <sheetView showGridLines="0" tabSelected="1" topLeftCell="A4" workbookViewId="0">
      <selection activeCell="E16" sqref="E16"/>
    </sheetView>
  </sheetViews>
  <sheetFormatPr defaultRowHeight="15"/>
  <cols>
    <col min="2" max="2" width="81" customWidth="1"/>
    <col min="3" max="3" width="12.28515625" bestFit="1" customWidth="1"/>
    <col min="6" max="6" width="36.5703125" bestFit="1" customWidth="1"/>
  </cols>
  <sheetData>
    <row r="1" spans="1:6">
      <c r="A1" s="4" t="str">
        <f>HYPERLINK("#Cover!A1", "&lt;&lt; Back to Cover")</f>
        <v>&lt;&lt; Back to Cover</v>
      </c>
    </row>
    <row r="2" spans="1:6" ht="26.25">
      <c r="A2" s="4"/>
      <c r="B2" s="31" t="s">
        <v>39</v>
      </c>
    </row>
    <row r="3" spans="1:6" ht="30.75">
      <c r="F3" s="34" t="s">
        <v>40</v>
      </c>
    </row>
    <row r="4" spans="1:6" ht="30.75">
      <c r="B4" s="32" t="s">
        <v>41</v>
      </c>
      <c r="F4" s="33" t="s">
        <v>42</v>
      </c>
    </row>
    <row r="5" spans="1:6">
      <c r="F5" s="35" t="s">
        <v>43</v>
      </c>
    </row>
    <row r="6" spans="1:6">
      <c r="F6" s="36"/>
    </row>
    <row r="7" spans="1:6">
      <c r="F7" s="36"/>
    </row>
    <row r="8" spans="1:6">
      <c r="B8" s="27" t="s">
        <v>44</v>
      </c>
      <c r="C8" s="28">
        <f>Financials!G6</f>
        <v>73242187.5</v>
      </c>
      <c r="D8" s="25"/>
    </row>
    <row r="9" spans="1:6">
      <c r="B9" s="29" t="s">
        <v>45</v>
      </c>
      <c r="C9" s="30">
        <f>Financials!G12</f>
        <v>19947656.25</v>
      </c>
      <c r="D9" s="26"/>
    </row>
  </sheetData>
  <sheetProtection sheet="1" objects="1" scenario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2026-02-08T16:58:19Z</dcterms:created>
  <dcterms:modified xsi:type="dcterms:W3CDTF">2026-02-09T08:45:28Z</dcterms:modified>
  <cp:category/>
  <cp:contentStatus/>
</cp:coreProperties>
</file>